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C\DSA\Account\Ravi_Account_files\"/>
    </mc:Choice>
  </mc:AlternateContent>
  <xr:revisionPtr revIDLastSave="0" documentId="13_ncr:1_{E48EA0B3-616D-482B-86F2-4DD9EA1715AF}" xr6:coauthVersionLast="47" xr6:coauthVersionMax="47" xr10:uidLastSave="{00000000-0000-0000-0000-000000000000}"/>
  <bookViews>
    <workbookView xWindow="-108" yWindow="-108" windowWidth="23256" windowHeight="13896" xr2:uid="{BDB99BE3-3638-4980-8487-89AFC73E7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4" i="1" s="1"/>
  <c r="F24" i="1"/>
  <c r="D25" i="1" l="1"/>
</calcChain>
</file>

<file path=xl/sharedStrings.xml><?xml version="1.0" encoding="utf-8"?>
<sst xmlns="http://schemas.openxmlformats.org/spreadsheetml/2006/main" count="38" uniqueCount="35">
  <si>
    <t>EMPLOYEE PAY SUMMARY</t>
  </si>
  <si>
    <t>Employee Name</t>
  </si>
  <si>
    <t>Employee No</t>
  </si>
  <si>
    <t xml:space="preserve">Designation </t>
  </si>
  <si>
    <t>Bank Account No</t>
  </si>
  <si>
    <t>Paid Days</t>
  </si>
  <si>
    <t xml:space="preserve">Pay Period </t>
  </si>
  <si>
    <t>LOP Days</t>
  </si>
  <si>
    <t>UAN</t>
  </si>
  <si>
    <t>EPF Number</t>
  </si>
  <si>
    <t>EARNINGS</t>
  </si>
  <si>
    <t>AMOUNT</t>
  </si>
  <si>
    <t>DEDUCTIONS</t>
  </si>
  <si>
    <t xml:space="preserve">EPF </t>
  </si>
  <si>
    <t>Medical Allowance</t>
  </si>
  <si>
    <t>Other Allowance</t>
  </si>
  <si>
    <t>Gross Earnings</t>
  </si>
  <si>
    <t>Total Deductions</t>
  </si>
  <si>
    <t>** Total Net Payable = ((Gross Earnings - Total Deductions) + Reimbursements)</t>
  </si>
  <si>
    <t xml:space="preserve"> This is a system generated pay slip, hence the signature is not required. </t>
  </si>
  <si>
    <t xml:space="preserve">Total Net Payable </t>
  </si>
  <si>
    <t>ESI</t>
  </si>
  <si>
    <t>Ravibalan Chithamparavel</t>
  </si>
  <si>
    <t>Team Lead</t>
  </si>
  <si>
    <t>NA</t>
  </si>
  <si>
    <t>101982047016</t>
  </si>
  <si>
    <t>HDFC Bank</t>
  </si>
  <si>
    <t>CBTRY23995980000010057</t>
  </si>
  <si>
    <t>Basic + DA</t>
  </si>
  <si>
    <r>
      <t xml:space="preserve">Pay slip for the month of </t>
    </r>
    <r>
      <rPr>
        <b/>
        <sz val="11"/>
        <color rgb="FFFF0000"/>
        <rFont val="Calibri"/>
        <family val="2"/>
        <scheme val="minor"/>
      </rPr>
      <t>May</t>
    </r>
    <r>
      <rPr>
        <b/>
        <sz val="11"/>
        <color theme="1"/>
        <rFont val="Calibri"/>
        <family val="2"/>
        <scheme val="minor"/>
      </rPr>
      <t xml:space="preserve"> 2026</t>
    </r>
  </si>
  <si>
    <t>(Indian Rupee Only)</t>
  </si>
  <si>
    <t>Professional Tax</t>
  </si>
  <si>
    <t xml:space="preserve">Gove
Plot# 32 &amp; 33, Thoothukudi Main Road, KTC Nagar, Tirunelveli 627011 </t>
  </si>
  <si>
    <t>HRA</t>
  </si>
  <si>
    <t>Travel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</si>
</sst>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[$₹-4009]\ #,##0"/>
    <numFmt numFmtId="166" formatCode="[$₹-4009]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rgb="FF777777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/>
    <xf numFmtId="0" fontId="0" fillId="2" borderId="0" xfId="0" applyFill="1"/>
    <xf numFmtId="0" fontId="0" fillId="2" borderId="6" xfId="0" applyFill="1" applyBorder="1" applyAlignment="1">
      <alignment horizontal="center"/>
    </xf>
    <xf numFmtId="0" fontId="2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/>
    <xf numFmtId="0" fontId="2" fillId="2" borderId="2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3" borderId="0" xfId="0" applyFont="1" applyFill="1"/>
    <xf numFmtId="0" fontId="2" fillId="2" borderId="3" xfId="0" applyFont="1" applyFill="1" applyBorder="1"/>
    <xf numFmtId="166" fontId="2" fillId="2" borderId="2" xfId="0" applyNumberFormat="1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3" borderId="5" xfId="0" applyFont="1" applyFill="1" applyBorder="1" applyAlignment="1">
      <alignment horizontal="left"/>
    </xf>
    <xf numFmtId="49" fontId="3" fillId="3" borderId="11" xfId="0" applyNumberFormat="1" applyFont="1" applyFill="1" applyBorder="1"/>
    <xf numFmtId="0" fontId="3" fillId="3" borderId="6" xfId="0" applyFont="1" applyFill="1" applyBorder="1"/>
    <xf numFmtId="166" fontId="3" fillId="2" borderId="5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166" fontId="2" fillId="2" borderId="9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left"/>
    </xf>
    <xf numFmtId="165" fontId="1" fillId="2" borderId="8" xfId="0" applyNumberFormat="1" applyFont="1" applyFill="1" applyBorder="1" applyAlignment="1">
      <alignment horizontal="left"/>
    </xf>
    <xf numFmtId="0" fontId="0" fillId="3" borderId="0" xfId="0" applyFill="1"/>
    <xf numFmtId="49" fontId="3" fillId="3" borderId="0" xfId="0" applyNumberFormat="1" applyFont="1" applyFill="1"/>
    <xf numFmtId="0" fontId="3" fillId="3" borderId="5" xfId="0" applyFont="1" applyFill="1" applyBorder="1"/>
    <xf numFmtId="0" fontId="2" fillId="2" borderId="5" xfId="0" applyFont="1" applyFill="1" applyBorder="1" applyAlignment="1">
      <alignment horizontal="left"/>
    </xf>
    <xf numFmtId="164" fontId="9" fillId="3" borderId="0" xfId="0" applyNumberFormat="1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0" xfId="0" applyFont="1" applyFill="1" applyBorder="1"/>
    <xf numFmtId="2" fontId="0" fillId="3" borderId="0" xfId="0" quotePrefix="1" applyNumberFormat="1" applyFill="1"/>
    <xf numFmtId="166" fontId="3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650074</xdr:colOff>
      <xdr:row>2</xdr:row>
      <xdr:rowOff>59378</xdr:rowOff>
    </xdr:from>
    <xdr:to>
      <xdr:col>6</xdr:col>
      <xdr:colOff>7025</xdr:colOff>
      <xdr:row>4</xdr:row>
      <xdr:rowOff>34589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CF215B-C642-9265-F8D5-0CB703096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5658" y="415638"/>
          <a:ext cx="960120" cy="331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4B3A-30DA-4342-BFFE-4CD1964E61B6}">
  <dimension ref="C3:F28"/>
  <sheetViews>
    <sheetView tabSelected="1" zoomScale="77" workbookViewId="0">
      <selection activeCell="K27" sqref="K27"/>
    </sheetView>
  </sheetViews>
  <sheetFormatPr defaultColWidth="8.77734375" defaultRowHeight="14.4" x14ac:dyDescent="0.3"/>
  <cols>
    <col min="1" max="2" width="8.77734375" style="28"/>
    <col min="3" max="3" width="21.21875" style="28" bestFit="1" customWidth="1"/>
    <col min="4" max="4" width="26.21875" style="28" customWidth="1"/>
    <col min="5" max="5" width="24.33203125" style="28" customWidth="1"/>
    <col min="6" max="6" width="23.33203125" style="28" bestFit="1" customWidth="1"/>
    <col min="7" max="16384" width="8.77734375" style="28"/>
  </cols>
  <sheetData>
    <row r="3" spans="3:6" x14ac:dyDescent="0.3">
      <c r="C3" s="39" t="s">
        <v>32</v>
      </c>
      <c r="D3" s="40"/>
      <c r="E3" s="40"/>
      <c r="F3" s="43"/>
    </row>
    <row r="4" spans="3:6" x14ac:dyDescent="0.3">
      <c r="C4" s="41"/>
      <c r="D4" s="42"/>
      <c r="E4" s="42"/>
      <c r="F4" s="44"/>
    </row>
    <row r="5" spans="3:6" x14ac:dyDescent="0.3">
      <c r="C5" s="41"/>
      <c r="D5" s="42"/>
      <c r="E5" s="42"/>
      <c r="F5" s="44"/>
    </row>
    <row r="6" spans="3:6" x14ac:dyDescent="0.3">
      <c r="C6" s="41"/>
      <c r="D6" s="42"/>
      <c r="E6" s="42"/>
      <c r="F6" s="44"/>
    </row>
    <row r="7" spans="3:6" x14ac:dyDescent="0.3">
      <c r="C7" s="2"/>
      <c r="D7" s="3"/>
      <c r="E7" s="3"/>
      <c r="F7" s="1"/>
    </row>
    <row r="8" spans="3:6" x14ac:dyDescent="0.3">
      <c r="C8" s="4"/>
      <c r="D8" s="5"/>
      <c r="E8" s="5"/>
      <c r="F8" s="6"/>
    </row>
    <row r="9" spans="3:6" x14ac:dyDescent="0.3">
      <c r="C9" s="45" t="s">
        <v>29</v>
      </c>
      <c r="D9" s="46"/>
      <c r="E9" s="46"/>
      <c r="F9" s="47"/>
    </row>
    <row r="10" spans="3:6" x14ac:dyDescent="0.3">
      <c r="C10" s="7" t="s">
        <v>0</v>
      </c>
      <c r="D10" s="8"/>
      <c r="E10" s="8"/>
      <c r="F10" s="9"/>
    </row>
    <row r="11" spans="3:6" x14ac:dyDescent="0.3">
      <c r="C11" s="10" t="s">
        <v>1</v>
      </c>
      <c r="D11" s="18" t="s">
        <v>22</v>
      </c>
      <c r="E11" s="15" t="s">
        <v>2</v>
      </c>
      <c r="F11" s="19">
        <v>10097</v>
      </c>
    </row>
    <row r="12" spans="3:6" x14ac:dyDescent="0.3">
      <c r="C12" s="10" t="s">
        <v>3</v>
      </c>
      <c r="D12" s="15" t="s">
        <v>23</v>
      </c>
      <c r="E12" s="15" t="s">
        <v>4</v>
      </c>
      <c r="F12" s="19" t="s">
        <v>26</v>
      </c>
    </row>
    <row r="13" spans="3:6" x14ac:dyDescent="0.3">
      <c r="C13" s="10" t="s">
        <v>6</v>
      </c>
      <c r="D13" s="32">
        <v>46143</v>
      </c>
      <c r="E13" s="15" t="s">
        <v>5</v>
      </c>
      <c r="F13" s="19">
        <v>30</v>
      </c>
    </row>
    <row r="14" spans="3:6" x14ac:dyDescent="0.3">
      <c r="C14" s="10" t="s">
        <v>8</v>
      </c>
      <c r="D14" s="52" t="s">
        <v>25</v>
      </c>
      <c r="E14" s="15" t="s">
        <v>7</v>
      </c>
      <c r="F14" s="19">
        <v>0</v>
      </c>
    </row>
    <row r="15" spans="3:6" x14ac:dyDescent="0.3">
      <c r="C15" s="10" t="s">
        <v>21</v>
      </c>
      <c r="D15" s="29" t="s">
        <v>24</v>
      </c>
      <c r="E15" s="11" t="s">
        <v>9</v>
      </c>
      <c r="F15" s="30" t="s">
        <v>27</v>
      </c>
    </row>
    <row r="16" spans="3:6" x14ac:dyDescent="0.3">
      <c r="C16" s="10"/>
      <c r="D16" s="20"/>
      <c r="E16" s="11"/>
      <c r="F16" s="21"/>
    </row>
    <row r="17" spans="3:6" x14ac:dyDescent="0.3">
      <c r="C17" s="7" t="s">
        <v>10</v>
      </c>
      <c r="D17" s="25" t="s">
        <v>11</v>
      </c>
      <c r="E17" s="12" t="s">
        <v>12</v>
      </c>
      <c r="F17" s="31" t="s">
        <v>11</v>
      </c>
    </row>
    <row r="18" spans="3:6" x14ac:dyDescent="0.3">
      <c r="C18" s="10" t="s">
        <v>28</v>
      </c>
      <c r="D18" s="53">
        <v>37500</v>
      </c>
      <c r="E18" s="51" t="s">
        <v>13</v>
      </c>
      <c r="F18" s="22">
        <v>3750</v>
      </c>
    </row>
    <row r="19" spans="3:6" x14ac:dyDescent="0.3">
      <c r="C19" s="10" t="s">
        <v>33</v>
      </c>
      <c r="D19" s="26">
        <v>5000</v>
      </c>
      <c r="E19" s="11" t="s">
        <v>21</v>
      </c>
      <c r="F19" s="22" t="s">
        <v>24</v>
      </c>
    </row>
    <row r="20" spans="3:6" x14ac:dyDescent="0.3">
      <c r="C20" s="10" t="s">
        <v>34</v>
      </c>
      <c r="D20" s="26">
        <v>5000</v>
      </c>
      <c r="E20" t="s">
        <v>31</v>
      </c>
      <c r="F20" s="22">
        <v>208</v>
      </c>
    </row>
    <row r="21" spans="3:6" x14ac:dyDescent="0.3">
      <c r="C21" s="10" t="s">
        <v>14</v>
      </c>
      <c r="D21" s="26">
        <v>2750</v>
      </c>
      <c r="F21" s="23"/>
    </row>
    <row r="22" spans="3:6" x14ac:dyDescent="0.3">
      <c r="C22" s="10" t="s">
        <v>15</v>
      </c>
      <c r="D22" s="26">
        <f>4230+208</f>
        <v>4438</v>
      </c>
      <c r="E22" s="11"/>
      <c r="F22" s="23"/>
    </row>
    <row r="23" spans="3:6" x14ac:dyDescent="0.3">
      <c r="C23" s="10"/>
      <c r="D23" s="26"/>
      <c r="E23" s="11"/>
      <c r="F23" s="23"/>
    </row>
    <row r="24" spans="3:6" x14ac:dyDescent="0.3">
      <c r="C24" s="13" t="s">
        <v>16</v>
      </c>
      <c r="D24" s="27">
        <f>SUM(D18:D22)</f>
        <v>54688</v>
      </c>
      <c r="E24" s="14" t="s">
        <v>17</v>
      </c>
      <c r="F24" s="24">
        <f>SUM(F18:F22)</f>
        <v>3958</v>
      </c>
    </row>
    <row r="25" spans="3:6" x14ac:dyDescent="0.3">
      <c r="C25" s="7" t="s">
        <v>20</v>
      </c>
      <c r="D25" s="17">
        <f>D24-F24</f>
        <v>50730</v>
      </c>
      <c r="E25" s="12" t="s">
        <v>30</v>
      </c>
      <c r="F25" s="16"/>
    </row>
    <row r="26" spans="3:6" x14ac:dyDescent="0.3">
      <c r="C26" s="48" t="s">
        <v>18</v>
      </c>
      <c r="D26" s="49"/>
      <c r="E26" s="49"/>
      <c r="F26" s="50"/>
    </row>
    <row r="27" spans="3:6" x14ac:dyDescent="0.3">
      <c r="C27" s="33"/>
      <c r="D27" s="34"/>
      <c r="E27" s="34"/>
      <c r="F27" s="35"/>
    </row>
    <row r="28" spans="3:6" x14ac:dyDescent="0.3">
      <c r="C28" s="36" t="s">
        <v>19</v>
      </c>
      <c r="D28" s="37"/>
      <c r="E28" s="37"/>
      <c r="F28" s="38"/>
    </row>
  </sheetData>
  <mergeCells count="6">
    <mergeCell ref="C27:F27"/>
    <mergeCell ref="C28:F28"/>
    <mergeCell ref="C3:E6"/>
    <mergeCell ref="F3:F6"/>
    <mergeCell ref="C9:F9"/>
    <mergeCell ref="C26:F26"/>
  </mergeCells>
  <pageMargins left="0.7" right="0.7" top="0.75" bottom="0.75" header="0.3" footer="0.3"/>
  <pageSetup paperSize="9" orientation="landscape" verticalDpi="0" r:id="rId1"/>
  <ignoredErrors>
    <ignoredError sqref="D1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Krishnaveni (GOVE.CO)</dc:creator>
  <cp:lastModifiedBy>Ravibalan Chithamparavel (ALITA)</cp:lastModifiedBy>
  <cp:lastPrinted>2023-09-02T13:58:08Z</cp:lastPrinted>
  <dcterms:created xsi:type="dcterms:W3CDTF">2023-09-02T13:35:42Z</dcterms:created>
  <dcterms:modified xsi:type="dcterms:W3CDTF">2026-05-27T18:57:05Z</dcterms:modified>
</cp:coreProperties>
</file>