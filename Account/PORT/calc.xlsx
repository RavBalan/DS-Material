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kup\RB\Users\PORT\"/>
    </mc:Choice>
  </mc:AlternateContent>
  <xr:revisionPtr revIDLastSave="0" documentId="13_ncr:1_{F7D223F4-7A63-41EB-8C8B-0F70C311148E}" xr6:coauthVersionLast="47" xr6:coauthVersionMax="47" xr10:uidLastSave="{00000000-0000-0000-0000-000000000000}"/>
  <bookViews>
    <workbookView xWindow="-108" yWindow="-108" windowWidth="23256" windowHeight="13896" xr2:uid="{E123ACFB-C38A-4C15-B194-716EEFF25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" i="1"/>
  <c r="Q4" i="1"/>
  <c r="Q5" i="1"/>
  <c r="Q6" i="1"/>
  <c r="P2" i="1"/>
  <c r="E2" i="1"/>
  <c r="E3" i="1" s="1"/>
  <c r="D2" i="1"/>
  <c r="B6" i="1"/>
  <c r="B7" i="1"/>
  <c r="B8" i="1"/>
  <c r="B9" i="1" s="1"/>
  <c r="B5" i="1"/>
  <c r="B4" i="1"/>
  <c r="B3" i="1"/>
  <c r="R2" i="1" l="1"/>
  <c r="S2" i="1" s="1"/>
  <c r="O3" i="1" s="1"/>
  <c r="P3" i="1" s="1"/>
  <c r="R3" i="1" s="1"/>
  <c r="S3" i="1" s="1"/>
  <c r="O4" i="1" s="1"/>
  <c r="P4" i="1" s="1"/>
  <c r="R4" i="1" s="1"/>
  <c r="S4" i="1" s="1"/>
  <c r="O5" i="1" s="1"/>
  <c r="E4" i="1"/>
  <c r="E5" i="1" s="1"/>
  <c r="F2" i="1"/>
  <c r="G2" i="1" s="1"/>
  <c r="C3" i="1" s="1"/>
  <c r="D3" i="1" s="1"/>
  <c r="F3" i="1" s="1"/>
  <c r="G3" i="1" s="1"/>
  <c r="C4" i="1" s="1"/>
  <c r="D4" i="1" s="1"/>
  <c r="B10" i="1"/>
  <c r="B11" i="1" s="1"/>
  <c r="P5" i="1" l="1"/>
  <c r="R5" i="1" s="1"/>
  <c r="S5" i="1"/>
  <c r="O6" i="1" s="1"/>
  <c r="P6" i="1" s="1"/>
  <c r="R6" i="1" s="1"/>
  <c r="S6" i="1" s="1"/>
  <c r="O7" i="1" s="1"/>
  <c r="E6" i="1"/>
  <c r="E7" i="1"/>
  <c r="E8" i="1" s="1"/>
  <c r="F4" i="1"/>
  <c r="G4" i="1" s="1"/>
  <c r="C5" i="1" s="1"/>
  <c r="D5" i="1" s="1"/>
  <c r="B12" i="1"/>
  <c r="B13" i="1"/>
  <c r="B14" i="1" s="1"/>
  <c r="P7" i="1" l="1"/>
  <c r="R7" i="1" s="1"/>
  <c r="S7" i="1" s="1"/>
  <c r="O8" i="1" s="1"/>
  <c r="E9" i="1"/>
  <c r="E10" i="1"/>
  <c r="E11" i="1" s="1"/>
  <c r="E12" i="1" s="1"/>
  <c r="F5" i="1"/>
  <c r="G5" i="1" s="1"/>
  <c r="C6" i="1" s="1"/>
  <c r="D6" i="1" s="1"/>
  <c r="B16" i="1"/>
  <c r="B17" i="1" s="1"/>
  <c r="B15" i="1"/>
  <c r="P8" i="1" l="1"/>
  <c r="R8" i="1" s="1"/>
  <c r="S8" i="1"/>
  <c r="O9" i="1" s="1"/>
  <c r="E13" i="1"/>
  <c r="E14" i="1" s="1"/>
  <c r="F6" i="1"/>
  <c r="G6" i="1" s="1"/>
  <c r="C7" i="1" s="1"/>
  <c r="D7" i="1" s="1"/>
  <c r="F7" i="1" s="1"/>
  <c r="G7" i="1" s="1"/>
  <c r="C8" i="1" s="1"/>
  <c r="D8" i="1" s="1"/>
  <c r="B18" i="1"/>
  <c r="B19" i="1"/>
  <c r="B20" i="1" s="1"/>
  <c r="P9" i="1" l="1"/>
  <c r="R9" i="1" s="1"/>
  <c r="S9" i="1"/>
  <c r="O10" i="1" s="1"/>
  <c r="F8" i="1"/>
  <c r="G8" i="1" s="1"/>
  <c r="C9" i="1" s="1"/>
  <c r="D9" i="1" s="1"/>
  <c r="E15" i="1"/>
  <c r="E16" i="1"/>
  <c r="B21" i="1"/>
  <c r="B22" i="1"/>
  <c r="B23" i="1" s="1"/>
  <c r="P10" i="1" l="1"/>
  <c r="R10" i="1" s="1"/>
  <c r="S10" i="1"/>
  <c r="O11" i="1" s="1"/>
  <c r="F9" i="1"/>
  <c r="G9" i="1" s="1"/>
  <c r="C10" i="1" s="1"/>
  <c r="B25" i="1"/>
  <c r="B24" i="1"/>
  <c r="E17" i="1"/>
  <c r="P11" i="1" l="1"/>
  <c r="R11" i="1" s="1"/>
  <c r="S11" i="1" s="1"/>
  <c r="O12" i="1" s="1"/>
  <c r="D10" i="1"/>
  <c r="F10" i="1" s="1"/>
  <c r="G10" i="1" s="1"/>
  <c r="C11" i="1" s="1"/>
  <c r="D11" i="1" s="1"/>
  <c r="F11" i="1" s="1"/>
  <c r="G11" i="1" s="1"/>
  <c r="C12" i="1" s="1"/>
  <c r="E18" i="1"/>
  <c r="E19" i="1"/>
  <c r="P12" i="1" l="1"/>
  <c r="R12" i="1" s="1"/>
  <c r="S12" i="1" s="1"/>
  <c r="O13" i="1" s="1"/>
  <c r="P13" i="1" s="1"/>
  <c r="R13" i="1" s="1"/>
  <c r="S13" i="1" s="1"/>
  <c r="O14" i="1" s="1"/>
  <c r="D12" i="1"/>
  <c r="F12" i="1" s="1"/>
  <c r="G12" i="1" s="1"/>
  <c r="C13" i="1" s="1"/>
  <c r="D13" i="1" s="1"/>
  <c r="F13" i="1" s="1"/>
  <c r="G13" i="1" s="1"/>
  <c r="C14" i="1" s="1"/>
  <c r="D14" i="1" s="1"/>
  <c r="E20" i="1"/>
  <c r="P14" i="1" l="1"/>
  <c r="R14" i="1" s="1"/>
  <c r="S14" i="1" s="1"/>
  <c r="O15" i="1" s="1"/>
  <c r="P15" i="1" s="1"/>
  <c r="R15" i="1" s="1"/>
  <c r="S15" i="1" s="1"/>
  <c r="O16" i="1" s="1"/>
  <c r="P16" i="1" s="1"/>
  <c r="R16" i="1" s="1"/>
  <c r="S16" i="1" s="1"/>
  <c r="O17" i="1" s="1"/>
  <c r="F14" i="1"/>
  <c r="G14" i="1" s="1"/>
  <c r="C15" i="1" s="1"/>
  <c r="D15" i="1" s="1"/>
  <c r="E21" i="1"/>
  <c r="E22" i="1"/>
  <c r="P17" i="1" l="1"/>
  <c r="R17" i="1" s="1"/>
  <c r="S17" i="1"/>
  <c r="O18" i="1" s="1"/>
  <c r="F15" i="1"/>
  <c r="G15" i="1" s="1"/>
  <c r="C16" i="1" s="1"/>
  <c r="D16" i="1" s="1"/>
  <c r="E23" i="1"/>
  <c r="P18" i="1" l="1"/>
  <c r="R18" i="1" s="1"/>
  <c r="S18" i="1" s="1"/>
  <c r="O19" i="1" s="1"/>
  <c r="F16" i="1"/>
  <c r="G16" i="1" s="1"/>
  <c r="C17" i="1" s="1"/>
  <c r="D17" i="1" s="1"/>
  <c r="E24" i="1"/>
  <c r="E25" i="1"/>
  <c r="P19" i="1" l="1"/>
  <c r="R19" i="1" s="1"/>
  <c r="S19" i="1" s="1"/>
  <c r="O20" i="1" s="1"/>
  <c r="F17" i="1"/>
  <c r="G17" i="1" s="1"/>
  <c r="C18" i="1" s="1"/>
  <c r="D18" i="1" s="1"/>
  <c r="P20" i="1" l="1"/>
  <c r="R20" i="1" s="1"/>
  <c r="S20" i="1"/>
  <c r="O21" i="1" s="1"/>
  <c r="F18" i="1"/>
  <c r="G18" i="1" s="1"/>
  <c r="C19" i="1" s="1"/>
  <c r="D19" i="1" s="1"/>
  <c r="P21" i="1" l="1"/>
  <c r="R21" i="1" s="1"/>
  <c r="S21" i="1" s="1"/>
  <c r="O22" i="1" s="1"/>
  <c r="F19" i="1"/>
  <c r="G19" i="1" s="1"/>
  <c r="C20" i="1" s="1"/>
  <c r="D20" i="1" s="1"/>
  <c r="P22" i="1" l="1"/>
  <c r="R22" i="1" s="1"/>
  <c r="S22" i="1"/>
  <c r="O23" i="1" s="1"/>
  <c r="F20" i="1"/>
  <c r="G20" i="1" s="1"/>
  <c r="C21" i="1" s="1"/>
  <c r="D21" i="1" s="1"/>
  <c r="P23" i="1" l="1"/>
  <c r="R23" i="1" s="1"/>
  <c r="S23" i="1" s="1"/>
  <c r="O24" i="1" s="1"/>
  <c r="F21" i="1"/>
  <c r="G21" i="1" s="1"/>
  <c r="C22" i="1" s="1"/>
  <c r="D22" i="1" s="1"/>
  <c r="P24" i="1" l="1"/>
  <c r="R24" i="1" s="1"/>
  <c r="S24" i="1" s="1"/>
  <c r="O25" i="1" s="1"/>
  <c r="F22" i="1"/>
  <c r="G22" i="1" s="1"/>
  <c r="C23" i="1" s="1"/>
  <c r="D23" i="1" s="1"/>
  <c r="P25" i="1" l="1"/>
  <c r="R25" i="1" s="1"/>
  <c r="S25" i="1" s="1"/>
  <c r="O26" i="1" s="1"/>
  <c r="F23" i="1"/>
  <c r="G23" i="1" s="1"/>
  <c r="C24" i="1" s="1"/>
  <c r="D24" i="1" s="1"/>
  <c r="P26" i="1" l="1"/>
  <c r="R26" i="1" s="1"/>
  <c r="S26" i="1"/>
  <c r="O27" i="1" s="1"/>
  <c r="F24" i="1"/>
  <c r="G24" i="1" s="1"/>
  <c r="C25" i="1" s="1"/>
  <c r="D25" i="1" s="1"/>
  <c r="P27" i="1" l="1"/>
  <c r="R27" i="1" s="1"/>
  <c r="S27" i="1" s="1"/>
  <c r="O28" i="1" s="1"/>
  <c r="F25" i="1"/>
  <c r="G25" i="1" s="1"/>
  <c r="P28" i="1" l="1"/>
  <c r="R28" i="1" s="1"/>
  <c r="S28" i="1" s="1"/>
  <c r="O29" i="1" s="1"/>
  <c r="P29" i="1" l="1"/>
  <c r="R29" i="1" s="1"/>
  <c r="S29" i="1" s="1"/>
  <c r="O30" i="1" s="1"/>
  <c r="P30" i="1" l="1"/>
  <c r="R30" i="1" s="1"/>
  <c r="S30" i="1"/>
  <c r="O31" i="1" s="1"/>
  <c r="P31" i="1" l="1"/>
  <c r="R31" i="1" s="1"/>
  <c r="S31" i="1" s="1"/>
  <c r="O32" i="1" s="1"/>
  <c r="P32" i="1" l="1"/>
  <c r="R32" i="1" s="1"/>
  <c r="S32" i="1" s="1"/>
  <c r="O33" i="1" s="1"/>
  <c r="P33" i="1" l="1"/>
  <c r="R33" i="1" s="1"/>
  <c r="S33" i="1"/>
  <c r="O34" i="1" s="1"/>
  <c r="P34" i="1" l="1"/>
  <c r="R34" i="1" s="1"/>
  <c r="S34" i="1" s="1"/>
  <c r="O35" i="1" s="1"/>
  <c r="P35" i="1" l="1"/>
  <c r="R35" i="1" s="1"/>
  <c r="S35" i="1" s="1"/>
  <c r="O36" i="1" s="1"/>
  <c r="P36" i="1" l="1"/>
  <c r="R36" i="1" s="1"/>
  <c r="S36" i="1"/>
  <c r="O37" i="1" s="1"/>
  <c r="P37" i="1" l="1"/>
  <c r="R37" i="1" s="1"/>
  <c r="S37" i="1" s="1"/>
</calcChain>
</file>

<file path=xl/sharedStrings.xml><?xml version="1.0" encoding="utf-8"?>
<sst xmlns="http://schemas.openxmlformats.org/spreadsheetml/2006/main" count="14" uniqueCount="7">
  <si>
    <t>Balance</t>
  </si>
  <si>
    <t>Interest</t>
  </si>
  <si>
    <t>EMI</t>
  </si>
  <si>
    <t>Month</t>
  </si>
  <si>
    <t>Rate</t>
  </si>
  <si>
    <t>Principal</t>
  </si>
  <si>
    <t>PrincipalPaid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</si>
</sst>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8" fontId="0" fillId="0" borderId="0" xfId="0" applyNumberFormat="1"/>
    <xf numFmtId="0" fontId="0" fillId="0" borderId="0" xfId="0" applyNumberFormat="1"/>
    <xf numFmtId="0" fontId="1" fillId="0" borderId="0" xfId="0" applyNumberFormat="1" applyFont="1"/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1960-6207-4D8E-91F2-895E4F78E8D2}">
  <dimension ref="A1:S37"/>
  <sheetViews>
    <sheetView tabSelected="1" topLeftCell="C6" zoomScale="102" workbookViewId="0">
      <selection activeCell="O37" sqref="O37"/>
    </sheetView>
  </sheetViews>
  <sheetFormatPr defaultRowHeight="14.4" x14ac:dyDescent="0.3"/>
  <cols>
    <col min="1" max="1" width="10.21875" bestFit="1" customWidth="1"/>
    <col min="2" max="3" width="12" bestFit="1" customWidth="1"/>
    <col min="4" max="4" width="10.21875" customWidth="1"/>
    <col min="5" max="5" width="15.21875" style="4" bestFit="1" customWidth="1"/>
    <col min="6" max="6" width="12.33203125" bestFit="1" customWidth="1"/>
    <col min="7" max="7" width="12" style="4" bestFit="1" customWidth="1"/>
    <col min="9" max="9" width="10.6640625" bestFit="1" customWidth="1"/>
    <col min="17" max="17" width="10.6640625" style="4" bestFit="1" customWidth="1"/>
    <col min="18" max="18" width="12.33203125" bestFit="1" customWidth="1"/>
    <col min="19" max="19" width="12.6640625" bestFit="1" customWidth="1"/>
  </cols>
  <sheetData>
    <row r="1" spans="1:19" x14ac:dyDescent="0.3">
      <c r="A1" s="2" t="s">
        <v>3</v>
      </c>
      <c r="B1" s="2" t="s">
        <v>4</v>
      </c>
      <c r="C1" s="2" t="s">
        <v>5</v>
      </c>
      <c r="D1" s="2" t="s">
        <v>1</v>
      </c>
      <c r="E1" s="7" t="s">
        <v>2</v>
      </c>
      <c r="F1" s="2" t="s">
        <v>6</v>
      </c>
      <c r="G1" s="5" t="s">
        <v>0</v>
      </c>
      <c r="M1" s="2" t="s">
        <v>3</v>
      </c>
      <c r="N1" s="2" t="s">
        <v>4</v>
      </c>
      <c r="O1" s="2" t="s">
        <v>5</v>
      </c>
      <c r="P1" s="2" t="s">
        <v>1</v>
      </c>
      <c r="Q1" s="7" t="s">
        <v>2</v>
      </c>
      <c r="R1" s="2" t="s">
        <v>6</v>
      </c>
      <c r="S1" s="5" t="s">
        <v>0</v>
      </c>
    </row>
    <row r="2" spans="1:19" x14ac:dyDescent="0.3">
      <c r="A2">
        <v>1</v>
      </c>
      <c r="B2">
        <v>10.99</v>
      </c>
      <c r="C2">
        <v>250000</v>
      </c>
      <c r="D2" s="1">
        <f>C2*(B2/12)/100</f>
        <v>2289.5833333333335</v>
      </c>
      <c r="E2" s="6">
        <f>-PMT(B2/12/100,24,250000)</f>
        <v>11650.798898413497</v>
      </c>
      <c r="F2" s="6">
        <f>E2-D2</f>
        <v>9361.2155650801633</v>
      </c>
      <c r="G2" s="4">
        <f>C2-F2</f>
        <v>240638.78443491983</v>
      </c>
      <c r="I2" s="3"/>
      <c r="M2">
        <v>1</v>
      </c>
      <c r="N2">
        <v>10.99</v>
      </c>
      <c r="O2">
        <v>375000</v>
      </c>
      <c r="P2" s="1">
        <f>O2*(N2/12)/100</f>
        <v>3434.375</v>
      </c>
      <c r="Q2" s="6">
        <f>-PMT(N2/12/100,36,375000)</f>
        <v>12275.243132050717</v>
      </c>
      <c r="R2" s="6">
        <f>Q2-P2</f>
        <v>8840.8681320507167</v>
      </c>
      <c r="S2" s="4">
        <f>O2-R2</f>
        <v>366159.13186794927</v>
      </c>
    </row>
    <row r="3" spans="1:19" x14ac:dyDescent="0.3">
      <c r="A3">
        <v>2</v>
      </c>
      <c r="B3">
        <f>B2</f>
        <v>10.99</v>
      </c>
      <c r="C3">
        <f>G2</f>
        <v>240638.78443491983</v>
      </c>
      <c r="D3" s="1">
        <f>C3*(B3/12)/100</f>
        <v>2203.8502007831407</v>
      </c>
      <c r="E3" s="6">
        <f>E2</f>
        <v>11650.798898413497</v>
      </c>
      <c r="F3" s="6">
        <f>E3-D3</f>
        <v>9446.948697630356</v>
      </c>
      <c r="G3" s="4">
        <f>C3-F3</f>
        <v>231191.83573728948</v>
      </c>
      <c r="M3">
        <v>2</v>
      </c>
      <c r="N3">
        <v>10.99</v>
      </c>
      <c r="O3">
        <f>S2</f>
        <v>366159.13186794927</v>
      </c>
      <c r="P3" s="1">
        <f>O3*(N3/12)/100</f>
        <v>3353.407382690636</v>
      </c>
      <c r="Q3" s="6">
        <f t="shared" ref="Q3:Q7" si="0">-PMT(N3/12/100,36,375000)</f>
        <v>12275.243132050717</v>
      </c>
      <c r="R3" s="6">
        <f>Q3-P3</f>
        <v>8921.8357493600815</v>
      </c>
      <c r="S3" s="4">
        <f>O3-R3</f>
        <v>357237.29611858918</v>
      </c>
    </row>
    <row r="4" spans="1:19" x14ac:dyDescent="0.3">
      <c r="A4">
        <v>3</v>
      </c>
      <c r="B4">
        <f>B2</f>
        <v>10.99</v>
      </c>
      <c r="C4">
        <f>G3</f>
        <v>231191.83573728948</v>
      </c>
      <c r="D4" s="1">
        <f>C4*(B4/12)/100</f>
        <v>2117.3318956273429</v>
      </c>
      <c r="E4" s="6">
        <f>E2</f>
        <v>11650.798898413497</v>
      </c>
      <c r="F4" s="6">
        <f>E4-D4</f>
        <v>9533.4670027861539</v>
      </c>
      <c r="G4" s="4">
        <f>C4-F4</f>
        <v>221658.36873450334</v>
      </c>
      <c r="M4">
        <v>3</v>
      </c>
      <c r="N4">
        <v>10.99</v>
      </c>
      <c r="O4">
        <f>S3</f>
        <v>357237.29611858918</v>
      </c>
      <c r="P4" s="1">
        <f t="shared" ref="P4:P8" si="1">O4*(N4/12)/100</f>
        <v>3271.6982369527459</v>
      </c>
      <c r="Q4" s="6">
        <f t="shared" si="0"/>
        <v>12275.243132050717</v>
      </c>
      <c r="R4" s="6">
        <f t="shared" ref="R4:R8" si="2">Q4-P4</f>
        <v>9003.5448950979699</v>
      </c>
      <c r="S4" s="4">
        <f t="shared" ref="S4:S8" si="3">O4-R4</f>
        <v>348233.75122349121</v>
      </c>
    </row>
    <row r="5" spans="1:19" x14ac:dyDescent="0.3">
      <c r="A5">
        <v>4</v>
      </c>
      <c r="B5">
        <f>B4</f>
        <v>10.99</v>
      </c>
      <c r="C5">
        <f>G4</f>
        <v>221658.36873450334</v>
      </c>
      <c r="D5" s="1">
        <f>C5*(B5/12)/100</f>
        <v>2030.0212269934934</v>
      </c>
      <c r="E5" s="6">
        <f>E4</f>
        <v>11650.798898413497</v>
      </c>
      <c r="F5" s="6">
        <f>E5-D5</f>
        <v>9620.7776714200045</v>
      </c>
      <c r="G5" s="4">
        <f>C5-F5</f>
        <v>212037.59106308332</v>
      </c>
      <c r="M5">
        <v>4</v>
      </c>
      <c r="N5">
        <v>10.99</v>
      </c>
      <c r="O5">
        <f t="shared" ref="O5:O6" si="4">S4</f>
        <v>348233.75122349121</v>
      </c>
      <c r="P5" s="1">
        <f t="shared" si="1"/>
        <v>3189.2407716218072</v>
      </c>
      <c r="Q5" s="6">
        <f t="shared" si="0"/>
        <v>12275.243132050717</v>
      </c>
      <c r="R5" s="6">
        <f t="shared" si="2"/>
        <v>9086.002360428909</v>
      </c>
      <c r="S5" s="4">
        <f t="shared" si="3"/>
        <v>339147.7488630623</v>
      </c>
    </row>
    <row r="6" spans="1:19" x14ac:dyDescent="0.3">
      <c r="A6">
        <v>5</v>
      </c>
      <c r="B6">
        <f t="shared" ref="B6:B25" si="5">B5</f>
        <v>10.99</v>
      </c>
      <c r="C6">
        <f t="shared" ref="C6:C25" si="6">G5</f>
        <v>212037.59106308332</v>
      </c>
      <c r="D6" s="1">
        <f t="shared" ref="D6:D25" si="7">C6*(B6/12)/100</f>
        <v>1941.910938152738</v>
      </c>
      <c r="E6" s="6">
        <f t="shared" ref="E6:E25" si="8">E5</f>
        <v>11650.798898413497</v>
      </c>
      <c r="F6" s="6">
        <f t="shared" ref="F6:F25" si="9">E6-D6</f>
        <v>9708.8879602607594</v>
      </c>
      <c r="G6" s="4">
        <f t="shared" ref="G6:G25" si="10">C6-F6</f>
        <v>202328.70310282256</v>
      </c>
      <c r="M6">
        <v>5</v>
      </c>
      <c r="N6">
        <v>10.99</v>
      </c>
      <c r="O6">
        <f>S5</f>
        <v>339147.7488630623</v>
      </c>
      <c r="P6" s="1">
        <f t="shared" si="1"/>
        <v>3106.0281333375456</v>
      </c>
      <c r="Q6" s="6">
        <f t="shared" si="0"/>
        <v>12275.243132050717</v>
      </c>
      <c r="R6" s="6">
        <f t="shared" si="2"/>
        <v>9169.2149987131706</v>
      </c>
      <c r="S6" s="4">
        <f t="shared" si="3"/>
        <v>329978.53386434913</v>
      </c>
    </row>
    <row r="7" spans="1:19" x14ac:dyDescent="0.3">
      <c r="A7">
        <v>6</v>
      </c>
      <c r="B7">
        <f t="shared" ref="B7" si="11">B5</f>
        <v>10.99</v>
      </c>
      <c r="C7">
        <f t="shared" si="6"/>
        <v>202328.70310282256</v>
      </c>
      <c r="D7" s="1">
        <f t="shared" si="7"/>
        <v>1852.9937059166834</v>
      </c>
      <c r="E7" s="6">
        <f t="shared" ref="E7" si="12">E5</f>
        <v>11650.798898413497</v>
      </c>
      <c r="F7" s="6">
        <f t="shared" si="9"/>
        <v>9797.8051924968131</v>
      </c>
      <c r="G7" s="4">
        <f t="shared" si="10"/>
        <v>192530.89791032576</v>
      </c>
      <c r="M7">
        <v>6</v>
      </c>
      <c r="N7">
        <v>10.99</v>
      </c>
      <c r="O7">
        <f t="shared" ref="O7:O37" si="13">S6</f>
        <v>329978.53386434913</v>
      </c>
      <c r="P7" s="1">
        <f t="shared" si="1"/>
        <v>3022.0534059743309</v>
      </c>
      <c r="Q7" s="6">
        <f t="shared" ref="Q7:Q38" si="14">-PMT(N7/12/100,36,375000)</f>
        <v>12275.243132050717</v>
      </c>
      <c r="R7" s="6">
        <f t="shared" si="2"/>
        <v>9253.1897260763853</v>
      </c>
      <c r="S7" s="4">
        <f t="shared" si="3"/>
        <v>320725.34413827275</v>
      </c>
    </row>
    <row r="8" spans="1:19" x14ac:dyDescent="0.3">
      <c r="A8">
        <v>7</v>
      </c>
      <c r="B8">
        <f t="shared" ref="B8:B25" si="15">B7</f>
        <v>10.99</v>
      </c>
      <c r="C8">
        <f t="shared" si="6"/>
        <v>192530.89791032576</v>
      </c>
      <c r="D8" s="1">
        <f t="shared" si="7"/>
        <v>1763.2621400287335</v>
      </c>
      <c r="E8" s="6">
        <f t="shared" ref="E8:E25" si="16">E7</f>
        <v>11650.798898413497</v>
      </c>
      <c r="F8" s="6">
        <f t="shared" si="9"/>
        <v>9887.5367583847637</v>
      </c>
      <c r="G8" s="4">
        <f t="shared" si="10"/>
        <v>182643.361151941</v>
      </c>
      <c r="M8">
        <v>7</v>
      </c>
      <c r="N8">
        <v>10.99</v>
      </c>
      <c r="O8">
        <f t="shared" si="13"/>
        <v>320725.34413827275</v>
      </c>
      <c r="P8" s="1">
        <f t="shared" ref="P8:P37" si="17">O8*(N8/12)/100</f>
        <v>2937.3096100663479</v>
      </c>
      <c r="Q8" s="6">
        <f t="shared" si="14"/>
        <v>12275.243132050717</v>
      </c>
      <c r="R8" s="6">
        <f t="shared" ref="R8:R37" si="18">Q8-P8</f>
        <v>9337.9335219843688</v>
      </c>
      <c r="S8" s="4">
        <f t="shared" ref="S8:S37" si="19">O8-R8</f>
        <v>311387.41061628837</v>
      </c>
    </row>
    <row r="9" spans="1:19" x14ac:dyDescent="0.3">
      <c r="A9">
        <v>8</v>
      </c>
      <c r="B9">
        <f t="shared" si="15"/>
        <v>10.99</v>
      </c>
      <c r="C9">
        <f t="shared" si="6"/>
        <v>182643.361151941</v>
      </c>
      <c r="D9" s="1">
        <f t="shared" si="7"/>
        <v>1672.70878254986</v>
      </c>
      <c r="E9" s="6">
        <f t="shared" si="16"/>
        <v>11650.798898413497</v>
      </c>
      <c r="F9" s="6">
        <f t="shared" si="9"/>
        <v>9978.090115863637</v>
      </c>
      <c r="G9" s="4">
        <f t="shared" si="10"/>
        <v>172665.27103607738</v>
      </c>
      <c r="M9">
        <v>8</v>
      </c>
      <c r="N9">
        <v>10.99</v>
      </c>
      <c r="O9">
        <f t="shared" si="13"/>
        <v>311387.41061628837</v>
      </c>
      <c r="P9" s="1">
        <f t="shared" si="17"/>
        <v>2851.7897022275079</v>
      </c>
      <c r="Q9" s="6">
        <f t="shared" si="14"/>
        <v>12275.243132050717</v>
      </c>
      <c r="R9" s="6">
        <f t="shared" si="18"/>
        <v>9423.4534298232084</v>
      </c>
      <c r="S9" s="4">
        <f t="shared" si="19"/>
        <v>301963.95718646515</v>
      </c>
    </row>
    <row r="10" spans="1:19" x14ac:dyDescent="0.3">
      <c r="A10">
        <v>9</v>
      </c>
      <c r="B10">
        <f t="shared" ref="B10" si="20">B8</f>
        <v>10.99</v>
      </c>
      <c r="C10">
        <f t="shared" si="6"/>
        <v>172665.27103607738</v>
      </c>
      <c r="D10" s="1">
        <f t="shared" si="7"/>
        <v>1581.3261072387422</v>
      </c>
      <c r="E10" s="6">
        <f t="shared" ref="E10" si="21">E8</f>
        <v>11650.798898413497</v>
      </c>
      <c r="F10" s="6">
        <f t="shared" si="9"/>
        <v>10069.472791174754</v>
      </c>
      <c r="G10" s="4">
        <f t="shared" si="10"/>
        <v>162595.79824490263</v>
      </c>
      <c r="M10">
        <v>9</v>
      </c>
      <c r="N10">
        <v>10.99</v>
      </c>
      <c r="O10">
        <f t="shared" si="13"/>
        <v>301963.95718646515</v>
      </c>
      <c r="P10" s="1">
        <f t="shared" si="17"/>
        <v>2765.4865745660436</v>
      </c>
      <c r="Q10" s="6">
        <f t="shared" si="14"/>
        <v>12275.243132050717</v>
      </c>
      <c r="R10" s="6">
        <f t="shared" si="18"/>
        <v>9509.756557484674</v>
      </c>
      <c r="S10" s="4">
        <f t="shared" si="19"/>
        <v>292454.20062898047</v>
      </c>
    </row>
    <row r="11" spans="1:19" x14ac:dyDescent="0.3">
      <c r="A11">
        <v>10</v>
      </c>
      <c r="B11">
        <f t="shared" ref="B11:B25" si="22">B10</f>
        <v>10.99</v>
      </c>
      <c r="C11">
        <f t="shared" si="6"/>
        <v>162595.79824490263</v>
      </c>
      <c r="D11" s="1">
        <f t="shared" si="7"/>
        <v>1489.1065189262333</v>
      </c>
      <c r="E11" s="6">
        <f t="shared" ref="E11:E25" si="23">E10</f>
        <v>11650.798898413497</v>
      </c>
      <c r="F11" s="6">
        <f t="shared" si="9"/>
        <v>10161.692379487264</v>
      </c>
      <c r="G11" s="4">
        <f t="shared" si="10"/>
        <v>152434.10586541536</v>
      </c>
      <c r="M11">
        <v>10</v>
      </c>
      <c r="N11">
        <v>10.99</v>
      </c>
      <c r="O11">
        <f t="shared" si="13"/>
        <v>292454.20062898047</v>
      </c>
      <c r="P11" s="1">
        <f t="shared" si="17"/>
        <v>2678.3930540937463</v>
      </c>
      <c r="Q11" s="6">
        <f t="shared" si="14"/>
        <v>12275.243132050717</v>
      </c>
      <c r="R11" s="6">
        <f t="shared" si="18"/>
        <v>9596.8500779569695</v>
      </c>
      <c r="S11" s="4">
        <f t="shared" si="19"/>
        <v>282857.3505510235</v>
      </c>
    </row>
    <row r="12" spans="1:19" x14ac:dyDescent="0.3">
      <c r="A12">
        <v>11</v>
      </c>
      <c r="B12">
        <f t="shared" si="22"/>
        <v>10.99</v>
      </c>
      <c r="C12">
        <f t="shared" si="6"/>
        <v>152434.10586541536</v>
      </c>
      <c r="D12" s="1">
        <f t="shared" si="7"/>
        <v>1396.0423528840956</v>
      </c>
      <c r="E12" s="6">
        <f t="shared" si="23"/>
        <v>11650.798898413497</v>
      </c>
      <c r="F12" s="6">
        <f t="shared" si="9"/>
        <v>10254.756545529403</v>
      </c>
      <c r="G12" s="4">
        <f t="shared" si="10"/>
        <v>142179.34931988595</v>
      </c>
      <c r="M12">
        <v>11</v>
      </c>
      <c r="N12">
        <v>10.99</v>
      </c>
      <c r="O12">
        <f t="shared" si="13"/>
        <v>282857.3505510235</v>
      </c>
      <c r="P12" s="1">
        <f t="shared" si="17"/>
        <v>2590.5019021297903</v>
      </c>
      <c r="Q12" s="6">
        <f t="shared" si="14"/>
        <v>12275.243132050717</v>
      </c>
      <c r="R12" s="6">
        <f t="shared" si="18"/>
        <v>9684.7412299209263</v>
      </c>
      <c r="S12" s="4">
        <f t="shared" si="19"/>
        <v>273172.60932110256</v>
      </c>
    </row>
    <row r="13" spans="1:19" x14ac:dyDescent="0.3">
      <c r="A13">
        <v>12</v>
      </c>
      <c r="B13">
        <f t="shared" ref="B13" si="24">B11</f>
        <v>10.99</v>
      </c>
      <c r="C13">
        <f t="shared" si="6"/>
        <v>142179.34931988595</v>
      </c>
      <c r="D13" s="1">
        <f t="shared" si="7"/>
        <v>1302.1258741879556</v>
      </c>
      <c r="E13" s="6">
        <f t="shared" ref="E13" si="25">E11</f>
        <v>11650.798898413497</v>
      </c>
      <c r="F13" s="6">
        <f t="shared" si="9"/>
        <v>10348.673024225542</v>
      </c>
      <c r="G13" s="4">
        <f t="shared" si="10"/>
        <v>131830.67629566041</v>
      </c>
      <c r="M13">
        <v>12</v>
      </c>
      <c r="N13">
        <v>10.99</v>
      </c>
      <c r="O13">
        <f t="shared" si="13"/>
        <v>273172.60932110256</v>
      </c>
      <c r="P13" s="1">
        <f t="shared" si="17"/>
        <v>2501.8058136990976</v>
      </c>
      <c r="Q13" s="6">
        <f t="shared" si="14"/>
        <v>12275.243132050717</v>
      </c>
      <c r="R13" s="6">
        <f t="shared" si="18"/>
        <v>9773.4373183516182</v>
      </c>
      <c r="S13" s="4">
        <f t="shared" si="19"/>
        <v>263399.17200275091</v>
      </c>
    </row>
    <row r="14" spans="1:19" x14ac:dyDescent="0.3">
      <c r="A14">
        <v>13</v>
      </c>
      <c r="B14">
        <f t="shared" ref="B14:B25" si="26">B13</f>
        <v>10.99</v>
      </c>
      <c r="C14">
        <f t="shared" si="6"/>
        <v>131830.67629566041</v>
      </c>
      <c r="D14" s="1">
        <f t="shared" si="7"/>
        <v>1207.3492770744233</v>
      </c>
      <c r="E14" s="6">
        <f t="shared" ref="E14:E25" si="27">E13</f>
        <v>11650.798898413497</v>
      </c>
      <c r="F14" s="6">
        <f t="shared" si="9"/>
        <v>10443.449621339074</v>
      </c>
      <c r="G14" s="4">
        <f t="shared" si="10"/>
        <v>121387.22667432134</v>
      </c>
      <c r="M14">
        <v>13</v>
      </c>
      <c r="N14">
        <v>10.99</v>
      </c>
      <c r="O14">
        <f t="shared" si="13"/>
        <v>263399.17200275091</v>
      </c>
      <c r="P14" s="1">
        <f t="shared" si="17"/>
        <v>2412.2974169251938</v>
      </c>
      <c r="Q14" s="6">
        <f t="shared" si="14"/>
        <v>12275.243132050717</v>
      </c>
      <c r="R14" s="6">
        <f t="shared" si="18"/>
        <v>9862.9457151255228</v>
      </c>
      <c r="S14" s="4">
        <f t="shared" si="19"/>
        <v>253536.22628762538</v>
      </c>
    </row>
    <row r="15" spans="1:19" x14ac:dyDescent="0.3">
      <c r="A15">
        <v>14</v>
      </c>
      <c r="B15">
        <f t="shared" si="26"/>
        <v>10.99</v>
      </c>
      <c r="C15">
        <f t="shared" si="6"/>
        <v>121387.22667432134</v>
      </c>
      <c r="D15" s="1">
        <f t="shared" si="7"/>
        <v>1111.7046842923262</v>
      </c>
      <c r="E15" s="6">
        <f t="shared" si="27"/>
        <v>11650.798898413497</v>
      </c>
      <c r="F15" s="6">
        <f t="shared" si="9"/>
        <v>10539.094214121171</v>
      </c>
      <c r="G15" s="4">
        <f t="shared" si="10"/>
        <v>110848.13246020017</v>
      </c>
      <c r="M15">
        <v>14</v>
      </c>
      <c r="N15">
        <v>10.99</v>
      </c>
      <c r="O15">
        <f t="shared" si="13"/>
        <v>253536.22628762538</v>
      </c>
      <c r="P15" s="1">
        <f t="shared" si="17"/>
        <v>2321.9692724175025</v>
      </c>
      <c r="Q15" s="6">
        <f t="shared" si="14"/>
        <v>12275.243132050717</v>
      </c>
      <c r="R15" s="6">
        <f t="shared" si="18"/>
        <v>9953.2738596332147</v>
      </c>
      <c r="S15" s="4">
        <f t="shared" si="19"/>
        <v>243582.95242799216</v>
      </c>
    </row>
    <row r="16" spans="1:19" x14ac:dyDescent="0.3">
      <c r="A16">
        <v>15</v>
      </c>
      <c r="B16">
        <f t="shared" ref="B16" si="28">B14</f>
        <v>10.99</v>
      </c>
      <c r="C16">
        <f t="shared" si="6"/>
        <v>110848.13246020017</v>
      </c>
      <c r="D16" s="1">
        <f t="shared" si="7"/>
        <v>1015.184146448</v>
      </c>
      <c r="E16" s="6">
        <f t="shared" ref="E16" si="29">E14</f>
        <v>11650.798898413497</v>
      </c>
      <c r="F16" s="6">
        <f t="shared" si="9"/>
        <v>10635.614751965497</v>
      </c>
      <c r="G16" s="4">
        <f t="shared" si="10"/>
        <v>100212.51770823468</v>
      </c>
      <c r="M16">
        <v>15</v>
      </c>
      <c r="N16">
        <v>10.99</v>
      </c>
      <c r="O16">
        <f t="shared" si="13"/>
        <v>243582.95242799216</v>
      </c>
      <c r="P16" s="1">
        <f t="shared" si="17"/>
        <v>2230.8138726530283</v>
      </c>
      <c r="Q16" s="6">
        <f t="shared" si="14"/>
        <v>12275.243132050717</v>
      </c>
      <c r="R16" s="6">
        <f t="shared" si="18"/>
        <v>10044.429259397688</v>
      </c>
      <c r="S16" s="4">
        <f t="shared" si="19"/>
        <v>233538.52316859446</v>
      </c>
    </row>
    <row r="17" spans="1:19" x14ac:dyDescent="0.3">
      <c r="A17">
        <v>16</v>
      </c>
      <c r="B17">
        <f t="shared" ref="B17:B25" si="30">B16</f>
        <v>10.99</v>
      </c>
      <c r="C17">
        <f t="shared" si="6"/>
        <v>100212.51770823468</v>
      </c>
      <c r="D17" s="1">
        <f t="shared" si="7"/>
        <v>917.77964134458261</v>
      </c>
      <c r="E17" s="6">
        <f t="shared" ref="E17:E25" si="31">E16</f>
        <v>11650.798898413497</v>
      </c>
      <c r="F17" s="6">
        <f t="shared" si="9"/>
        <v>10733.019257068914</v>
      </c>
      <c r="G17" s="4">
        <f t="shared" si="10"/>
        <v>89479.498451165768</v>
      </c>
      <c r="M17">
        <v>16</v>
      </c>
      <c r="N17">
        <v>10.99</v>
      </c>
      <c r="O17">
        <f t="shared" si="13"/>
        <v>233538.52316859446</v>
      </c>
      <c r="P17" s="1">
        <f t="shared" si="17"/>
        <v>2138.8236413523778</v>
      </c>
      <c r="Q17" s="6">
        <f t="shared" si="14"/>
        <v>12275.243132050717</v>
      </c>
      <c r="R17" s="6">
        <f t="shared" si="18"/>
        <v>10136.419490698339</v>
      </c>
      <c r="S17" s="4">
        <f t="shared" si="19"/>
        <v>223402.10367789611</v>
      </c>
    </row>
    <row r="18" spans="1:19" x14ac:dyDescent="0.3">
      <c r="A18">
        <v>17</v>
      </c>
      <c r="B18">
        <f t="shared" si="30"/>
        <v>10.99</v>
      </c>
      <c r="C18">
        <f t="shared" si="6"/>
        <v>89479.498451165768</v>
      </c>
      <c r="D18" s="1">
        <f t="shared" si="7"/>
        <v>819.48307331525984</v>
      </c>
      <c r="E18" s="6">
        <f t="shared" si="31"/>
        <v>11650.798898413497</v>
      </c>
      <c r="F18" s="6">
        <f t="shared" si="9"/>
        <v>10831.315825098238</v>
      </c>
      <c r="G18" s="4">
        <f t="shared" si="10"/>
        <v>78648.18262606753</v>
      </c>
      <c r="M18">
        <v>17</v>
      </c>
      <c r="N18">
        <v>10.99</v>
      </c>
      <c r="O18">
        <f t="shared" si="13"/>
        <v>223402.10367789611</v>
      </c>
      <c r="P18" s="1">
        <f t="shared" si="17"/>
        <v>2045.9909328500653</v>
      </c>
      <c r="Q18" s="6">
        <f t="shared" si="14"/>
        <v>12275.243132050717</v>
      </c>
      <c r="R18" s="6">
        <f t="shared" si="18"/>
        <v>10229.252199200651</v>
      </c>
      <c r="S18" s="4">
        <f t="shared" si="19"/>
        <v>213172.85147869546</v>
      </c>
    </row>
    <row r="19" spans="1:19" x14ac:dyDescent="0.3">
      <c r="A19">
        <v>18</v>
      </c>
      <c r="B19">
        <f t="shared" ref="B19" si="32">B17</f>
        <v>10.99</v>
      </c>
      <c r="C19">
        <f t="shared" si="6"/>
        <v>78648.18262606753</v>
      </c>
      <c r="D19" s="1">
        <f t="shared" si="7"/>
        <v>720.2862725504018</v>
      </c>
      <c r="E19" s="6">
        <f t="shared" ref="E19" si="33">E17</f>
        <v>11650.798898413497</v>
      </c>
      <c r="F19" s="6">
        <f t="shared" si="9"/>
        <v>10930.512625863095</v>
      </c>
      <c r="G19" s="4">
        <f t="shared" si="10"/>
        <v>67717.670000204438</v>
      </c>
      <c r="M19">
        <v>18</v>
      </c>
      <c r="N19">
        <v>10.99</v>
      </c>
      <c r="O19">
        <f t="shared" si="13"/>
        <v>213172.85147869546</v>
      </c>
      <c r="P19" s="1">
        <f t="shared" si="17"/>
        <v>1952.3080314590525</v>
      </c>
      <c r="Q19" s="6">
        <f t="shared" si="14"/>
        <v>12275.243132050717</v>
      </c>
      <c r="R19" s="6">
        <f t="shared" si="18"/>
        <v>10322.935100591665</v>
      </c>
      <c r="S19" s="4">
        <f t="shared" si="19"/>
        <v>202849.91637810381</v>
      </c>
    </row>
    <row r="20" spans="1:19" x14ac:dyDescent="0.3">
      <c r="A20">
        <v>19</v>
      </c>
      <c r="B20">
        <f t="shared" ref="B20:B25" si="34">B19</f>
        <v>10.99</v>
      </c>
      <c r="C20">
        <f t="shared" si="6"/>
        <v>67717.670000204438</v>
      </c>
      <c r="D20" s="1">
        <f t="shared" si="7"/>
        <v>620.18099441853906</v>
      </c>
      <c r="E20" s="6">
        <f t="shared" ref="E20:E25" si="35">E19</f>
        <v>11650.798898413497</v>
      </c>
      <c r="F20" s="6">
        <f t="shared" si="9"/>
        <v>11030.617903994958</v>
      </c>
      <c r="G20" s="4">
        <f t="shared" si="10"/>
        <v>56687.052096209482</v>
      </c>
      <c r="M20">
        <v>19</v>
      </c>
      <c r="N20">
        <v>10.99</v>
      </c>
      <c r="O20">
        <f t="shared" si="13"/>
        <v>202849.91637810381</v>
      </c>
      <c r="P20" s="1">
        <f t="shared" si="17"/>
        <v>1857.7671508294675</v>
      </c>
      <c r="Q20" s="6">
        <f t="shared" si="14"/>
        <v>12275.243132050717</v>
      </c>
      <c r="R20" s="6">
        <f t="shared" si="18"/>
        <v>10417.475981221249</v>
      </c>
      <c r="S20" s="4">
        <f t="shared" si="19"/>
        <v>192432.44039688256</v>
      </c>
    </row>
    <row r="21" spans="1:19" x14ac:dyDescent="0.3">
      <c r="A21">
        <v>20</v>
      </c>
      <c r="B21">
        <f t="shared" si="34"/>
        <v>10.99</v>
      </c>
      <c r="C21">
        <f t="shared" si="6"/>
        <v>56687.052096209482</v>
      </c>
      <c r="D21" s="1">
        <f t="shared" si="7"/>
        <v>519.15891878111859</v>
      </c>
      <c r="E21" s="6">
        <f t="shared" si="35"/>
        <v>11650.798898413497</v>
      </c>
      <c r="F21" s="6">
        <f t="shared" si="9"/>
        <v>11131.639979632379</v>
      </c>
      <c r="G21" s="4">
        <f t="shared" si="10"/>
        <v>45555.412116577107</v>
      </c>
      <c r="M21">
        <v>20</v>
      </c>
      <c r="N21">
        <v>10.99</v>
      </c>
      <c r="O21">
        <f t="shared" si="13"/>
        <v>192432.44039688256</v>
      </c>
      <c r="P21" s="1">
        <f t="shared" si="17"/>
        <v>1762.3604333014496</v>
      </c>
      <c r="Q21" s="6">
        <f t="shared" si="14"/>
        <v>12275.243132050717</v>
      </c>
      <c r="R21" s="6">
        <f t="shared" si="18"/>
        <v>10512.882698749267</v>
      </c>
      <c r="S21" s="4">
        <f t="shared" si="19"/>
        <v>181919.55769813329</v>
      </c>
    </row>
    <row r="22" spans="1:19" x14ac:dyDescent="0.3">
      <c r="A22">
        <v>21</v>
      </c>
      <c r="B22">
        <f t="shared" ref="B22" si="36">B20</f>
        <v>10.99</v>
      </c>
      <c r="C22">
        <f t="shared" si="6"/>
        <v>45555.412116577107</v>
      </c>
      <c r="D22" s="1">
        <f t="shared" si="7"/>
        <v>417.21164930098536</v>
      </c>
      <c r="E22" s="6">
        <f t="shared" ref="E22" si="37">E20</f>
        <v>11650.798898413497</v>
      </c>
      <c r="F22" s="6">
        <f t="shared" si="9"/>
        <v>11233.587249112512</v>
      </c>
      <c r="G22" s="4">
        <f t="shared" si="10"/>
        <v>34321.824867464595</v>
      </c>
      <c r="M22">
        <v>21</v>
      </c>
      <c r="N22">
        <v>10.99</v>
      </c>
      <c r="O22">
        <f t="shared" si="13"/>
        <v>181919.55769813329</v>
      </c>
      <c r="P22" s="1">
        <f t="shared" si="17"/>
        <v>1666.0799492520707</v>
      </c>
      <c r="Q22" s="6">
        <f t="shared" si="14"/>
        <v>12275.243132050717</v>
      </c>
      <c r="R22" s="6">
        <f t="shared" si="18"/>
        <v>10609.163182798646</v>
      </c>
      <c r="S22" s="4">
        <f t="shared" si="19"/>
        <v>171310.39451533463</v>
      </c>
    </row>
    <row r="23" spans="1:19" x14ac:dyDescent="0.3">
      <c r="A23">
        <v>22</v>
      </c>
      <c r="B23">
        <f t="shared" ref="B23:B25" si="38">B22</f>
        <v>10.99</v>
      </c>
      <c r="C23">
        <f t="shared" si="6"/>
        <v>34321.824867464595</v>
      </c>
      <c r="D23" s="1">
        <f t="shared" si="7"/>
        <v>314.33071274452993</v>
      </c>
      <c r="E23" s="6">
        <f t="shared" ref="E23:E25" si="39">E22</f>
        <v>11650.798898413497</v>
      </c>
      <c r="F23" s="6">
        <f t="shared" si="9"/>
        <v>11336.468185668968</v>
      </c>
      <c r="G23" s="4">
        <f t="shared" si="10"/>
        <v>22985.356681795627</v>
      </c>
      <c r="M23">
        <v>22</v>
      </c>
      <c r="N23">
        <v>10.99</v>
      </c>
      <c r="O23">
        <f t="shared" si="13"/>
        <v>171310.39451533463</v>
      </c>
      <c r="P23" s="1">
        <f t="shared" si="17"/>
        <v>1568.9176964362732</v>
      </c>
      <c r="Q23" s="6">
        <f t="shared" si="14"/>
        <v>12275.243132050717</v>
      </c>
      <c r="R23" s="6">
        <f t="shared" si="18"/>
        <v>10706.325435614443</v>
      </c>
      <c r="S23" s="4">
        <f t="shared" si="19"/>
        <v>160604.06907972018</v>
      </c>
    </row>
    <row r="24" spans="1:19" x14ac:dyDescent="0.3">
      <c r="A24">
        <v>23</v>
      </c>
      <c r="B24">
        <f t="shared" si="38"/>
        <v>10.99</v>
      </c>
      <c r="C24">
        <f t="shared" si="6"/>
        <v>22985.356681795627</v>
      </c>
      <c r="D24" s="1">
        <f t="shared" si="7"/>
        <v>210.50755827744496</v>
      </c>
      <c r="E24" s="6">
        <f t="shared" si="39"/>
        <v>11650.798898413497</v>
      </c>
      <c r="F24" s="6">
        <f t="shared" si="9"/>
        <v>11440.291340136053</v>
      </c>
      <c r="G24" s="4">
        <f t="shared" si="10"/>
        <v>11545.065341659574</v>
      </c>
      <c r="M24">
        <v>23</v>
      </c>
      <c r="N24">
        <v>10.99</v>
      </c>
      <c r="O24">
        <f t="shared" si="13"/>
        <v>160604.06907972018</v>
      </c>
      <c r="P24" s="1">
        <f t="shared" si="17"/>
        <v>1470.8655993217708</v>
      </c>
      <c r="Q24" s="6">
        <f t="shared" si="14"/>
        <v>12275.243132050717</v>
      </c>
      <c r="R24" s="6">
        <f t="shared" si="18"/>
        <v>10804.377532728946</v>
      </c>
      <c r="S24" s="4">
        <f t="shared" si="19"/>
        <v>149799.69154699123</v>
      </c>
    </row>
    <row r="25" spans="1:19" x14ac:dyDescent="0.3">
      <c r="A25">
        <v>24</v>
      </c>
      <c r="B25">
        <f t="shared" ref="B25" si="40">B23</f>
        <v>10.99</v>
      </c>
      <c r="C25">
        <f t="shared" si="6"/>
        <v>11545.065341659574</v>
      </c>
      <c r="D25" s="1">
        <f t="shared" si="7"/>
        <v>105.73355675403226</v>
      </c>
      <c r="E25" s="6">
        <f t="shared" ref="E25" si="41">E23</f>
        <v>11650.798898413497</v>
      </c>
      <c r="F25" s="6">
        <f t="shared" si="9"/>
        <v>11545.065341659465</v>
      </c>
      <c r="G25" s="4">
        <f t="shared" si="10"/>
        <v>1.0913936421275139E-10</v>
      </c>
      <c r="M25">
        <v>24</v>
      </c>
      <c r="N25">
        <v>10.99</v>
      </c>
      <c r="O25">
        <f t="shared" si="13"/>
        <v>149799.69154699123</v>
      </c>
      <c r="P25" s="1">
        <f t="shared" si="17"/>
        <v>1371.9155084178615</v>
      </c>
      <c r="Q25" s="6">
        <f t="shared" si="14"/>
        <v>12275.243132050717</v>
      </c>
      <c r="R25" s="6">
        <f t="shared" si="18"/>
        <v>10903.327623632855</v>
      </c>
      <c r="S25" s="4">
        <f t="shared" si="19"/>
        <v>138896.36392335838</v>
      </c>
    </row>
    <row r="26" spans="1:19" x14ac:dyDescent="0.3">
      <c r="M26">
        <v>25</v>
      </c>
      <c r="N26">
        <v>10.99</v>
      </c>
      <c r="O26">
        <f t="shared" si="13"/>
        <v>138896.36392335838</v>
      </c>
      <c r="P26" s="1">
        <f t="shared" si="17"/>
        <v>1272.0591995980906</v>
      </c>
      <c r="Q26" s="6">
        <f t="shared" si="14"/>
        <v>12275.243132050717</v>
      </c>
      <c r="R26" s="6">
        <f t="shared" si="18"/>
        <v>11003.183932452626</v>
      </c>
      <c r="S26" s="4">
        <f t="shared" si="19"/>
        <v>127893.17999090576</v>
      </c>
    </row>
    <row r="27" spans="1:19" x14ac:dyDescent="0.3">
      <c r="M27">
        <v>26</v>
      </c>
      <c r="N27">
        <v>10.99</v>
      </c>
      <c r="O27">
        <f t="shared" si="13"/>
        <v>127893.17999090576</v>
      </c>
      <c r="P27" s="1">
        <f t="shared" si="17"/>
        <v>1171.2883734167119</v>
      </c>
      <c r="Q27" s="6">
        <f t="shared" si="14"/>
        <v>12275.243132050717</v>
      </c>
      <c r="R27" s="6">
        <f t="shared" si="18"/>
        <v>11103.954758634005</v>
      </c>
      <c r="S27" s="4">
        <f t="shared" si="19"/>
        <v>116789.22523227175</v>
      </c>
    </row>
    <row r="28" spans="1:19" x14ac:dyDescent="0.3">
      <c r="M28">
        <v>27</v>
      </c>
      <c r="N28">
        <v>10.99</v>
      </c>
      <c r="O28">
        <f t="shared" si="13"/>
        <v>116789.22523227175</v>
      </c>
      <c r="P28" s="1">
        <f t="shared" si="17"/>
        <v>1069.5946544188889</v>
      </c>
      <c r="Q28" s="6">
        <f t="shared" si="14"/>
        <v>12275.243132050717</v>
      </c>
      <c r="R28" s="6">
        <f t="shared" si="18"/>
        <v>11205.648477631828</v>
      </c>
      <c r="S28" s="4">
        <f t="shared" si="19"/>
        <v>105583.57675463993</v>
      </c>
    </row>
    <row r="29" spans="1:19" x14ac:dyDescent="0.3">
      <c r="M29">
        <v>28</v>
      </c>
      <c r="N29">
        <v>10.99</v>
      </c>
      <c r="O29">
        <f t="shared" si="13"/>
        <v>105583.57675463993</v>
      </c>
      <c r="P29" s="1">
        <f t="shared" si="17"/>
        <v>966.96959044457753</v>
      </c>
      <c r="Q29" s="6">
        <f t="shared" si="14"/>
        <v>12275.243132050717</v>
      </c>
      <c r="R29" s="6">
        <f t="shared" si="18"/>
        <v>11308.273541606139</v>
      </c>
      <c r="S29" s="4">
        <f t="shared" si="19"/>
        <v>94275.303213033796</v>
      </c>
    </row>
    <row r="30" spans="1:19" x14ac:dyDescent="0.3">
      <c r="M30">
        <v>29</v>
      </c>
      <c r="N30">
        <v>10.99</v>
      </c>
      <c r="O30">
        <f t="shared" si="13"/>
        <v>94275.303213033796</v>
      </c>
      <c r="P30" s="1">
        <f t="shared" si="17"/>
        <v>863.4046519260346</v>
      </c>
      <c r="Q30" s="6">
        <f t="shared" si="14"/>
        <v>12275.243132050717</v>
      </c>
      <c r="R30" s="6">
        <f t="shared" si="18"/>
        <v>11411.838480124683</v>
      </c>
      <c r="S30" s="4">
        <f t="shared" si="19"/>
        <v>82863.464732909109</v>
      </c>
    </row>
    <row r="31" spans="1:19" x14ac:dyDescent="0.3">
      <c r="M31">
        <v>30</v>
      </c>
      <c r="N31">
        <v>10.99</v>
      </c>
      <c r="O31">
        <f t="shared" si="13"/>
        <v>82863.464732909109</v>
      </c>
      <c r="P31" s="1">
        <f t="shared" si="17"/>
        <v>758.89123117889267</v>
      </c>
      <c r="Q31" s="6">
        <f t="shared" si="14"/>
        <v>12275.243132050717</v>
      </c>
      <c r="R31" s="6">
        <f t="shared" si="18"/>
        <v>11516.351900871825</v>
      </c>
      <c r="S31" s="4">
        <f t="shared" si="19"/>
        <v>71347.112832037281</v>
      </c>
    </row>
    <row r="32" spans="1:19" x14ac:dyDescent="0.3">
      <c r="M32">
        <v>31</v>
      </c>
      <c r="N32">
        <v>10.99</v>
      </c>
      <c r="O32">
        <f t="shared" si="13"/>
        <v>71347.112832037281</v>
      </c>
      <c r="P32" s="1">
        <f t="shared" si="17"/>
        <v>653.42064168674142</v>
      </c>
      <c r="Q32" s="6">
        <f t="shared" si="14"/>
        <v>12275.243132050717</v>
      </c>
      <c r="R32" s="6">
        <f t="shared" si="18"/>
        <v>11621.822490363975</v>
      </c>
      <c r="S32" s="4">
        <f t="shared" si="19"/>
        <v>59725.290341673302</v>
      </c>
    </row>
    <row r="33" spans="13:19" x14ac:dyDescent="0.3">
      <c r="M33">
        <v>32</v>
      </c>
      <c r="N33">
        <v>10.99</v>
      </c>
      <c r="O33">
        <f t="shared" si="13"/>
        <v>59725.290341673302</v>
      </c>
      <c r="P33" s="1">
        <f t="shared" si="17"/>
        <v>546.98411737915808</v>
      </c>
      <c r="Q33" s="6">
        <f t="shared" si="14"/>
        <v>12275.243132050717</v>
      </c>
      <c r="R33" s="6">
        <f t="shared" si="18"/>
        <v>11728.259014671559</v>
      </c>
      <c r="S33" s="4">
        <f t="shared" si="19"/>
        <v>47997.031327001743</v>
      </c>
    </row>
    <row r="34" spans="13:19" x14ac:dyDescent="0.3">
      <c r="M34">
        <v>33</v>
      </c>
      <c r="N34">
        <v>10.99</v>
      </c>
      <c r="O34">
        <f t="shared" si="13"/>
        <v>47997.031327001743</v>
      </c>
      <c r="P34" s="1">
        <f t="shared" si="17"/>
        <v>439.57281190312432</v>
      </c>
      <c r="Q34" s="6">
        <f t="shared" si="14"/>
        <v>12275.243132050717</v>
      </c>
      <c r="R34" s="6">
        <f t="shared" si="18"/>
        <v>11835.670320147592</v>
      </c>
      <c r="S34" s="4">
        <f t="shared" si="19"/>
        <v>36161.361006854153</v>
      </c>
    </row>
    <row r="35" spans="13:19" x14ac:dyDescent="0.3">
      <c r="M35">
        <v>34</v>
      </c>
      <c r="N35">
        <v>10.99</v>
      </c>
      <c r="O35">
        <f t="shared" si="13"/>
        <v>36161.361006854153</v>
      </c>
      <c r="P35" s="1">
        <f t="shared" si="17"/>
        <v>331.17779788777261</v>
      </c>
      <c r="Q35" s="6">
        <f t="shared" si="14"/>
        <v>12275.243132050717</v>
      </c>
      <c r="R35" s="6">
        <f t="shared" si="18"/>
        <v>11944.065334162944</v>
      </c>
      <c r="S35" s="4">
        <f t="shared" si="19"/>
        <v>24217.295672691209</v>
      </c>
    </row>
    <row r="36" spans="13:19" x14ac:dyDescent="0.3">
      <c r="M36">
        <v>35</v>
      </c>
      <c r="N36">
        <v>10.99</v>
      </c>
      <c r="O36">
        <f t="shared" si="13"/>
        <v>24217.295672691209</v>
      </c>
      <c r="P36" s="1">
        <f t="shared" si="17"/>
        <v>221.79006620239699</v>
      </c>
      <c r="Q36" s="6">
        <f t="shared" si="14"/>
        <v>12275.243132050717</v>
      </c>
      <c r="R36" s="6">
        <f t="shared" si="18"/>
        <v>12053.45306584832</v>
      </c>
      <c r="S36" s="4">
        <f t="shared" si="19"/>
        <v>12163.842606842889</v>
      </c>
    </row>
    <row r="37" spans="13:19" x14ac:dyDescent="0.3">
      <c r="M37">
        <v>36</v>
      </c>
      <c r="N37">
        <v>10.99</v>
      </c>
      <c r="O37">
        <f t="shared" si="13"/>
        <v>12163.842606842889</v>
      </c>
      <c r="P37" s="1">
        <f t="shared" si="17"/>
        <v>111.40052520766947</v>
      </c>
      <c r="Q37" s="6">
        <f t="shared" si="14"/>
        <v>12275.243132050717</v>
      </c>
      <c r="R37" s="6">
        <f t="shared" si="18"/>
        <v>12163.842606843047</v>
      </c>
      <c r="S37" s="4">
        <f t="shared" si="19"/>
        <v>-1.5825207810848951E-10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Ravibalan Chithamparavel (ALITA)</dc:creator>
  <cp:lastModifiedBy>Ravibalan Chithamparavel (ALITA)</cp:lastModifiedBy>
  <dcterms:created xsi:type="dcterms:W3CDTF">2026-01-22T13:07:30Z</dcterms:created>
  <dcterms:modified xsi:type="dcterms:W3CDTF">2026-01-22T15:31:07Z</dcterms:modified>
</cp:coreProperties>
</file>